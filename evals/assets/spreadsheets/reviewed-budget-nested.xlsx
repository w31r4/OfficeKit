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Forecast" sheetId="1" r:id="rId3"/>
  </x:sheets>
</x:workbook>
</file>

<file path=xl/styles.xml><?xml version="1.0" encoding="utf-8"?>
<x:styleSheet xmlns:x="http://schemas.openxmlformats.org/spreadsheetml/2006/main">
  <x:fonts count="3">
    <x:font>
      <x:sz val="11"/>
      <x:name val="Aptos"/>
    </x:font>
    <x:font>
      <x:b/>
      <x:sz val="14"/>
      <x:color rgb="FFFFFFFF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  <x:bgColor indexed="64"/>
      </x:patternFill>
    </x:fill>
    <x:fill>
      <x:patternFill patternType="solid">
        <x:fgColor rgb="FFE2E8F0"/>
        <x:bgColor indexed="64"/>
      </x:patternFill>
    </x:fill>
  </x:fills>
  <x:borders count="1">
    <x:border/>
  </x:borders>
  <x:cellStyleXfs count="1">
    <x:xf/>
  </x:cellStyleXfs>
  <x:cellXfs count="3">
    <x:xf/>
    <x:xf fontId="1" fillId="2" applyFont="1" applyFill="1"/>
    <x:xf fontId="2" fillId="3" applyFont="1" applyFill="1"/>
  </x:cellXfs>
  <x:cellStyles count="1">
    <x:cellStyle name="Normal" xfId="0" builtin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theme" Target="/xl/theme/theme1.xml" Id="rId2" /><Relationship Type="http://schemas.openxmlformats.org/officeDocument/2006/relationships/worksheet" Target="/xl/worksheets/sheet1.xml" Id="rId3" /><Relationship Type="http://schemas.openxmlformats.org/officeDocument/2006/relationships/styles" Target="/xl/styles.xml" Id="rId4" /><Relationship Type="http://schemas.microsoft.com/office/2017/10/relationships/person" Target="/xl/persons/person.xml" Id="rId5" /></Relationships>
</file>

<file path=xl/persons/person.xml><?xml version="1.0" encoding="utf-8"?>
<xltc:personList xmlns:xltc="http://schemas.microsoft.com/office/spreadsheetml/2018/threadedcomments">
  <xltc:person displayName="Scenario owner" id="{AAAAAAAA-AAAA-4AAA-8AAA-AAAAAAAAAAAA}" userId="scenario.owner@example.com" providerId="None"/>
  <xltc:person displayName="Risk reviewer" id="{BBBBBBBB-BBBB-4BBB-8BBB-BBBBBBBBBBBB}" userId="risk.reviewer@example.com" providerId="None"/>
  <xltc:person displayName="Legal reviewer" id="{CCCCCCCC-CCCC-4CCC-8CCC-CCCCCCCCCCCC}" userId="legal.reviewer@example.com" providerId="None"/>
</xltc:personList>
</file>

<file path=xl/theme/theme1.xml><?xml version="1.0" encoding="utf-8"?>
<a:theme xmlns:a="http://schemas.openxmlformats.org/drawingml/2006/main" name="Office Clean Room">
  <a:themeElements>
    <a:clrScheme name="Office Clean Room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ean Room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 Clean Room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19" dT="2026-07-17T09:00:00Z" personId="{AAAAAAAA-AAAA-4AAA-8AAA-AAAAAAAAAAAA}" id="{11111111-1111-4111-8111-111111111111}" done="0">
    <xltc:text>Please confirm the downside cash buffer before board circulation.</xltc:text>
  </xltc:threadedComment>
  <xltc:threadedComment ref="F19" dT="2026-07-17T09:30:00Z" personId="{BBBBBBBB-BBBB-4BBB-8BBB-BBBBBBBBBBBB}" id="{22222222-2222-4222-8222-222222222222}" parentId="{11111111-1111-4111-8111-111111111111}" done="0">
    <xltc:text>Sensitivity analysis is attached to the approved planning case.</xltc:text>
  </xltc:threadedComment>
  <xltc:threadedComment ref="F19" dT="2026-07-17T10:00:00Z" personId="{CCCCCCCC-CCCC-4CCC-8CCC-CCCCCCCCCCCC}" id="{33333333-3333-4333-8333-333333333333}" parentId="{22222222-2222-4222-8222-222222222222}" done="0">
    <xltc:text>Approved after sensitivity review.</xltc:text>
  </xltc:threadedComment>
</xltc:ThreadedComments>
</file>

<file path=xl/worksheets/_rels/sheet1.xml.rels><?xml version="1.0" encoding="utf-8"?><Relationships xmlns="http://schemas.openxmlformats.org/package/2006/relationships"><Relationship Type="http://schemas.microsoft.com/office/2017/10/relationships/threadedComment" Target="/xl/threadedcomments/threadedcomment.xml" Id="rId6" /></Relationships>
</file>

<file path=xl/worksheets/sheet1.xml><?xml version="1.0" encoding="utf-8"?>
<x:worksheet xmlns:x="http://schemas.openxmlformats.org/spreadsheetml/2006/main">
  <x:sheetViews>
    <x:sheetView showGridLines="1" tabSelected="1" workbookViewId="0">
      <x:pane xSplit="0" ySplit="2" topLeftCell="A3" activePane="bottomLeft" state="frozen"/>
    </x:sheetView>
  </x:sheetViews>
  <x:cols>
    <x:col min="1" max="1" width="31.421875" hidden="0" bestFit="0" customWidth="1"/>
    <x:col min="2" max="2" width="18.57421875" hidden="0" bestFit="0" customWidth="1"/>
    <x:col min="3" max="3" width="18.57421875" hidden="0" bestFit="0" customWidth="1"/>
    <x:col min="4" max="4" width="18.57421875" hidden="0" bestFit="0" customWidth="1"/>
    <x:col min="5" max="5" width="18.57421875" hidden="0" bestFit="0" customWidth="1"/>
    <x:col min="6" max="6" width="18.57421875" hidden="0" bestFit="0" customWidth="1"/>
  </x:cols>
  <x:sheetData>
    <x:row r="1">
      <x:c r="A1" s="1" t="inlineStr">
        <x:is>
          <x:t>FY27 downside cash review</x:t>
        </x:is>
      </x:c>
      <x:c r="B1" s="1"/>
      <x:c r="C1" s="1"/>
      <x:c r="D1" s="1"/>
      <x:c r="E1" s="1"/>
      <x:c r="F1" s="1"/>
    </x:row>
    <x:row r="2">
      <x:c r="A2" s="2" t="inlineStr">
        <x:is>
          <x:t>Scenario</x:t>
        </x:is>
      </x:c>
      <x:c r="B2" s="2" t="inlineStr">
        <x:is>
          <x:t>Revenue</x:t>
        </x:is>
      </x:c>
      <x:c r="C2" s="2" t="inlineStr">
        <x:is>
          <x:t>Gross margin</x:t>
        </x:is>
      </x:c>
      <x:c r="D2" s="2" t="inlineStr">
        <x:is>
          <x:t>EBITDA</x:t>
        </x:is>
      </x:c>
      <x:c r="E2" s="2" t="inlineStr">
        <x:is>
          <x:t>Cash buffer</x:t>
        </x:is>
      </x:c>
      <x:c r="F2" s="2" t="inlineStr">
        <x:is>
          <x:t>Board status</x:t>
        </x:is>
      </x:c>
    </x:row>
    <x:row r="3">
      <x:c r="A3" t="inlineStr">
        <x:is>
          <x:t>Base</x:t>
        </x:is>
      </x:c>
      <x:c r="B3">
        <x:v>1480</x:v>
      </x:c>
      <x:c r="C3">
        <x:v>0.58</x:v>
      </x:c>
      <x:c r="D3">
        <x:v>255</x:v>
      </x:c>
      <x:c r="E3">
        <x:v>122</x:v>
      </x:c>
      <x:c r="F3" t="inlineStr">
        <x:is>
          <x:t>Approved</x:t>
        </x:is>
      </x:c>
    </x:row>
    <x:row r="4">
      <x:c r="A4" t="inlineStr">
        <x:is>
          <x:t>Upside</x:t>
        </x:is>
      </x:c>
      <x:c r="B4">
        <x:v>1640</x:v>
      </x:c>
      <x:c r="C4">
        <x:v>0.6</x:v>
      </x:c>
      <x:c r="D4">
        <x:v>302</x:v>
      </x:c>
      <x:c r="E4">
        <x:v>168</x:v>
      </x:c>
      <x:c r="F4" t="inlineStr">
        <x:is>
          <x:t>Approved</x:t>
        </x:is>
      </x:c>
    </x:row>
    <x:row r="5">
      <x:c r="A5" t="inlineStr">
        <x:is>
          <x:t>Downside</x:t>
        </x:is>
      </x:c>
      <x:c r="B5">
        <x:v>1210</x:v>
      </x:c>
      <x:c r="C5">
        <x:v>0.51</x:v>
      </x:c>
      <x:c r="D5">
        <x:v>142</x:v>
      </x:c>
      <x:c r="E5">
        <x:v>45</x:v>
      </x:c>
      <x:c r="F5" t="inlineStr">
        <x:is>
          <x:t>Pending review</x:t>
        </x:is>
      </x:c>
    </x:row>
    <x:row r="7">
      <x:c r="A7" t="inlineStr">
        <x:is>
          <x:t>Control</x:t>
        </x:is>
      </x:c>
      <x:c r="B7" t="inlineStr">
        <x:is>
          <x:t>Value</x:t>
        </x:is>
      </x:c>
    </x:row>
    <x:row r="8">
      <x:c r="A8" t="inlineStr">
        <x:is>
          <x:t>Minimum required cash buffer</x:t>
        </x:is>
      </x:c>
      <x:c r="B8">
        <x:v>40</x:v>
      </x:c>
    </x:row>
    <x:row r="9">
      <x:c r="A9" t="inlineStr">
        <x:is>
          <x:t>Downside buffer check</x:t>
        </x:is>
      </x:c>
      <x:c r="B9" t="str">
        <x:f>IF(F5="Pending review","REVIEW","PASS")</x:f>
        <x:v>REVIEW</x:v>
      </x:c>
    </x:row>
    <x:row r="11">
      <x:c r="A11" t="inlineStr">
        <x:is>
          <x:t>Board review notes</x:t>
        </x:is>
      </x:c>
    </x:row>
    <x:row r="12">
      <x:c r="A12" t="inlineStr">
        <x:is>
          <x:t>The threaded review target is the final board-status cell below.</x:t>
        </x:is>
      </x:c>
    </x:row>
    <x:row r="14">
      <x:c r="A14" s="2" t="inlineStr">
        <x:is>
          <x:t>Forecast</x:t>
        </x:is>
      </x:c>
      <x:c r="B14" s="2" t="inlineStr">
        <x:is>
          <x:t>Value</x:t>
        </x:is>
      </x:c>
    </x:row>
    <x:row r="15">
      <x:c r="A15" t="inlineStr">
        <x:is>
          <x:t>Opening cash</x:t>
        </x:is>
      </x:c>
      <x:c r="B15">
        <x:v>210</x:v>
      </x:c>
    </x:row>
    <x:row r="16">
      <x:c r="A16" t="inlineStr">
        <x:is>
          <x:t>Operating cash flow</x:t>
        </x:is>
      </x:c>
      <x:c r="B16">
        <x:v>-118</x:v>
      </x:c>
    </x:row>
    <x:row r="17">
      <x:c r="A17" t="inlineStr">
        <x:is>
          <x:t>Committed spend</x:t>
        </x:is>
      </x:c>
      <x:c r="B17">
        <x:v>-47</x:v>
      </x:c>
    </x:row>
    <x:row r="18">
      <x:c r="A18" t="inlineStr">
        <x:is>
          <x:t>Minimum buffer</x:t>
        </x:is>
      </x:c>
      <x:c r="B18">
        <x:v>-40</x:v>
      </x:c>
    </x:row>
    <x:row r="19">
      <x:c r="A19" t="inlineStr">
        <x:is>
          <x:t>Downside cash buffer</x:t>
        </x:is>
      </x:c>
      <x:c r="F19">
        <x:f>SUM(B15:B18)</x:f>
        <x:v>5</x:v>
      </x:c>
    </x:row>
  </x:sheetData>
</x:worksheet>
</file>